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st control\"/>
    </mc:Choice>
  </mc:AlternateContent>
  <xr:revisionPtr revIDLastSave="0" documentId="13_ncr:1_{27C77EB8-A292-4ACD-B597-7257BF2F32FD}" xr6:coauthVersionLast="47" xr6:coauthVersionMax="47" xr10:uidLastSave="{00000000-0000-0000-0000-000000000000}"/>
  <bookViews>
    <workbookView xWindow="-120" yWindow="-120" windowWidth="20730" windowHeight="11160" firstSheet="1" activeTab="1" xr2:uid="{2D178072-5716-4067-BB1A-CC754B995597}"/>
  </bookViews>
  <sheets>
    <sheet name="Sheet1" sheetId="1" state="hidden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H44" i="2"/>
  <c r="G44" i="2"/>
  <c r="I44" i="2" l="1"/>
  <c r="F6" i="1"/>
  <c r="G6" i="1" s="1"/>
  <c r="F21" i="1" l="1"/>
  <c r="G21" i="1" s="1"/>
  <c r="F22" i="1"/>
  <c r="G22" i="1" s="1"/>
  <c r="F19" i="1"/>
  <c r="G19" i="1" s="1"/>
  <c r="F20" i="1"/>
  <c r="G20" i="1" s="1"/>
  <c r="F10" i="1"/>
  <c r="G10" i="1" s="1"/>
  <c r="F11" i="1"/>
  <c r="G11" i="1" s="1"/>
  <c r="F12" i="1"/>
  <c r="G12" i="1" s="1"/>
  <c r="F13" i="1"/>
  <c r="G13" i="1" s="1"/>
  <c r="F8" i="1"/>
  <c r="G8" i="1" s="1"/>
  <c r="F9" i="1"/>
  <c r="G9" i="1" s="1"/>
  <c r="F7" i="1"/>
  <c r="G7" i="1" s="1"/>
  <c r="F5" i="1"/>
  <c r="G5" i="1" s="1"/>
  <c r="F4" i="1"/>
  <c r="G4" i="1" s="1"/>
  <c r="G48" i="1" l="1"/>
</calcChain>
</file>

<file path=xl/sharedStrings.xml><?xml version="1.0" encoding="utf-8"?>
<sst xmlns="http://schemas.openxmlformats.org/spreadsheetml/2006/main" count="222" uniqueCount="80">
  <si>
    <t>Item Description</t>
  </si>
  <si>
    <t>Unit</t>
  </si>
  <si>
    <t>Unit Rate</t>
  </si>
  <si>
    <t>Total amount</t>
  </si>
  <si>
    <t>Total amount with VAT</t>
  </si>
  <si>
    <t xml:space="preserve">1.Surveyor with total station </t>
  </si>
  <si>
    <t>QTY</t>
  </si>
  <si>
    <t>Hr</t>
  </si>
  <si>
    <t xml:space="preserve">2.Surveyor with total station </t>
  </si>
  <si>
    <t xml:space="preserve">3.Surveyor with total station </t>
  </si>
  <si>
    <t>Month</t>
  </si>
  <si>
    <t>December</t>
  </si>
  <si>
    <t>November</t>
  </si>
  <si>
    <t>January</t>
  </si>
  <si>
    <t>NITOPROOF 10 &amp; RENDEROC FC (20 KG)</t>
  </si>
  <si>
    <t>_</t>
  </si>
  <si>
    <t>Site procurment (Disel,Building material,water,material  transportation...etc (Eng abdelrhman)</t>
  </si>
  <si>
    <t>Site procurment (Disel,Building material,water,material  transportation...etc (Eng ahmed elberry)</t>
  </si>
  <si>
    <t>Personal Remittances (Eng ahmed el berry)</t>
  </si>
  <si>
    <t>Fire extingushers (Eng ahmed el berry)</t>
  </si>
  <si>
    <t>Safety jackets (Eng ahmed el berry)</t>
  </si>
  <si>
    <t>Site procurment (Disel,Building material,water,material  transportation...etc (Hany)</t>
  </si>
  <si>
    <t>Bus rent</t>
  </si>
  <si>
    <t>subcontractor (Abo moaz)</t>
  </si>
  <si>
    <t>4.Man power (Carpenter) ismail</t>
  </si>
  <si>
    <t>5.Man power (Steel Fixer) ismail</t>
  </si>
  <si>
    <t>6.Man power (Helper) ismail</t>
  </si>
  <si>
    <t>7.Man power (Carpenter) ismail</t>
  </si>
  <si>
    <t>8.Man power (Steel Fixer) ismail</t>
  </si>
  <si>
    <t>9.Man power (Tea boy) ismail</t>
  </si>
  <si>
    <t>10.Man power (Helper) ismail</t>
  </si>
  <si>
    <t xml:space="preserve">man power (eng abdelrhman) </t>
  </si>
  <si>
    <t>Stuff modern team</t>
  </si>
  <si>
    <t>january</t>
  </si>
  <si>
    <t>February</t>
  </si>
  <si>
    <t>15. Equipment (10 Ton Fork Lift with operator) MAGED</t>
  </si>
  <si>
    <t>16. Equipment (backhoe loader with operator) MAGED</t>
  </si>
  <si>
    <t>17. Equipment (backhoe loader with operator) MAGED</t>
  </si>
  <si>
    <t>18. Equipment (backhoe loader with operator) MAGED</t>
  </si>
  <si>
    <t>UP TO DATE</t>
  </si>
  <si>
    <t>19. Equipment (backhoe loader with operator) MAGED</t>
  </si>
  <si>
    <t>Exacavator (Eng abdelerhman)</t>
  </si>
  <si>
    <t>Total concerte to finalize</t>
  </si>
  <si>
    <t>third party inspection</t>
  </si>
  <si>
    <t>cash in</t>
  </si>
  <si>
    <t>cash out</t>
  </si>
  <si>
    <t>pending to be paid</t>
  </si>
  <si>
    <t>Up to date</t>
  </si>
  <si>
    <t>paid</t>
  </si>
  <si>
    <t>concerete</t>
  </si>
  <si>
    <t>Accomodation (Labours)</t>
  </si>
  <si>
    <t>Accomodation (junior stuff)</t>
  </si>
  <si>
    <t>Accomodation (senior stuff)</t>
  </si>
  <si>
    <t xml:space="preserve">Surveyor with total station </t>
  </si>
  <si>
    <t xml:space="preserve"> Equipment (backhoe loader with operator) MAGED</t>
  </si>
  <si>
    <t>Equipment (backhoe loader with operator) MAGED</t>
  </si>
  <si>
    <t xml:space="preserve">Total amount </t>
  </si>
  <si>
    <t>Materials Cost</t>
  </si>
  <si>
    <t>Equipment Cost</t>
  </si>
  <si>
    <t>Accomodation</t>
  </si>
  <si>
    <t>Transportation</t>
  </si>
  <si>
    <t>others</t>
  </si>
  <si>
    <t>Accomodation (Eng.A.elberry) (Hotel)</t>
  </si>
  <si>
    <t>Site procurment (Plastic rolls, PVC green mesh,Transportation)(Eng ahmed el berry)</t>
  </si>
  <si>
    <t>Site procurment (Disel,Building material,Food,  transportation...etc (Eng ahmed aboud)</t>
  </si>
  <si>
    <t>Site procurment (Disel,Building material,Food,  transportation...etc (Abdelrehiem)</t>
  </si>
  <si>
    <t xml:space="preserve"> car ( wanyet)</t>
  </si>
  <si>
    <t>accent car</t>
  </si>
  <si>
    <t xml:space="preserve"> Equipment (10 Ton Fork Lift with operator) MAGED</t>
  </si>
  <si>
    <t xml:space="preserve">Cost sheet for RAK project included </t>
  </si>
  <si>
    <t>Labour&amp; stuff Cost</t>
  </si>
  <si>
    <t>BRC materials</t>
  </si>
  <si>
    <t>March</t>
  </si>
  <si>
    <t>Car (wanyet)</t>
  </si>
  <si>
    <t xml:space="preserve"> (all labours included (ismail)</t>
  </si>
  <si>
    <t>IPA01</t>
  </si>
  <si>
    <t>SAR</t>
  </si>
  <si>
    <t xml:space="preserve">cash in </t>
  </si>
  <si>
    <t>Cash out</t>
  </si>
  <si>
    <t>5% DOWN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</si>
</sst>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6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3" fontId="0" fillId="0" borderId="1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/>
    </xf>
    <xf numFmtId="4" fontId="0" fillId="0" borderId="0" xfId="0" applyNumberFormat="1" applyAlignment="1">
      <alignment horizontal="center"/>
    </xf>
    <xf numFmtId="3" fontId="7" fillId="11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" fontId="8" fillId="0" borderId="1" xfId="0" applyNumberFormat="1" applyFont="1" applyBorder="1"/>
    <xf numFmtId="4" fontId="6" fillId="0" borderId="1" xfId="0" applyNumberFormat="1" applyFont="1" applyBorder="1"/>
    <xf numFmtId="3" fontId="0" fillId="0" borderId="11" xfId="0" applyNumberFormat="1" applyBorder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7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3CCAA8E5-458E-4305-A3DB-6E109652CB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1D2F-CF29-46BC-89D4-45A7675FB979}">
  <dimension ref="B3:I58"/>
  <sheetViews>
    <sheetView topLeftCell="B27" workbookViewId="0">
      <selection activeCell="G7" sqref="G7:G9"/>
    </sheetView>
  </sheetViews>
  <sheetFormatPr defaultRowHeight="15" x14ac:dyDescent="0.25"/>
  <cols>
    <col min="2" max="2" width="68.85546875" customWidth="1"/>
    <col min="3" max="3" width="20.7109375" customWidth="1"/>
    <col min="4" max="4" width="19.140625" customWidth="1"/>
    <col min="6" max="6" width="14" customWidth="1"/>
    <col min="7" max="7" width="22.5703125" customWidth="1"/>
    <col min="8" max="8" width="11.42578125" customWidth="1"/>
    <col min="10" max="10" width="26.42578125" customWidth="1"/>
  </cols>
  <sheetData>
    <row r="3" spans="2:8" x14ac:dyDescent="0.25">
      <c r="B3" s="4" t="s">
        <v>0</v>
      </c>
      <c r="C3" s="4" t="s">
        <v>6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10</v>
      </c>
    </row>
    <row r="4" spans="2:8" x14ac:dyDescent="0.25">
      <c r="B4" s="2" t="s">
        <v>5</v>
      </c>
      <c r="C4" s="2">
        <v>250</v>
      </c>
      <c r="D4" s="2" t="s">
        <v>7</v>
      </c>
      <c r="E4" s="2">
        <v>34.619999999999997</v>
      </c>
      <c r="F4" s="2">
        <f>C4*E4</f>
        <v>8655</v>
      </c>
      <c r="G4" s="2">
        <f>F4*1.15</f>
        <v>9953.25</v>
      </c>
      <c r="H4" s="1" t="s">
        <v>11</v>
      </c>
    </row>
    <row r="5" spans="2:8" x14ac:dyDescent="0.25">
      <c r="B5" s="2" t="s">
        <v>8</v>
      </c>
      <c r="C5" s="2">
        <v>1</v>
      </c>
      <c r="D5" s="2" t="s">
        <v>10</v>
      </c>
      <c r="E5" s="2">
        <v>9000</v>
      </c>
      <c r="F5" s="2">
        <f>C5*E5</f>
        <v>9000</v>
      </c>
      <c r="G5" s="2">
        <f t="shared" ref="G5:G22" si="0">F5*1.15</f>
        <v>10350</v>
      </c>
      <c r="H5" s="1" t="s">
        <v>13</v>
      </c>
    </row>
    <row r="6" spans="2:8" x14ac:dyDescent="0.25">
      <c r="B6" s="2" t="s">
        <v>9</v>
      </c>
      <c r="C6" s="2">
        <v>1</v>
      </c>
      <c r="D6" s="2" t="s">
        <v>10</v>
      </c>
      <c r="E6" s="2">
        <v>9000</v>
      </c>
      <c r="F6" s="2">
        <f>C6*E6</f>
        <v>9000</v>
      </c>
      <c r="G6" s="2">
        <f t="shared" si="0"/>
        <v>10350</v>
      </c>
      <c r="H6" s="1" t="s">
        <v>12</v>
      </c>
    </row>
    <row r="7" spans="2:8" x14ac:dyDescent="0.25">
      <c r="B7" s="2" t="s">
        <v>24</v>
      </c>
      <c r="C7" s="2">
        <v>624</v>
      </c>
      <c r="D7" s="2" t="s">
        <v>7</v>
      </c>
      <c r="E7" s="2">
        <v>18</v>
      </c>
      <c r="F7" s="2">
        <f t="shared" ref="F7" si="1">C7*E7</f>
        <v>11232</v>
      </c>
      <c r="G7" s="2">
        <f t="shared" si="0"/>
        <v>12916.8</v>
      </c>
      <c r="H7" s="1" t="s">
        <v>11</v>
      </c>
    </row>
    <row r="8" spans="2:8" x14ac:dyDescent="0.25">
      <c r="B8" s="2" t="s">
        <v>25</v>
      </c>
      <c r="C8" s="2">
        <v>229</v>
      </c>
      <c r="D8" s="2" t="s">
        <v>7</v>
      </c>
      <c r="E8" s="2">
        <v>18</v>
      </c>
      <c r="F8" s="2">
        <f t="shared" ref="F8:F9" si="2">C8*E8</f>
        <v>4122</v>
      </c>
      <c r="G8" s="2">
        <f t="shared" si="0"/>
        <v>4740.2999999999993</v>
      </c>
      <c r="H8" s="1" t="s">
        <v>11</v>
      </c>
    </row>
    <row r="9" spans="2:8" x14ac:dyDescent="0.25">
      <c r="B9" s="2" t="s">
        <v>26</v>
      </c>
      <c r="C9" s="3">
        <v>1065</v>
      </c>
      <c r="D9" s="2" t="s">
        <v>7</v>
      </c>
      <c r="E9" s="2">
        <v>15</v>
      </c>
      <c r="F9" s="2">
        <f t="shared" si="2"/>
        <v>15975</v>
      </c>
      <c r="G9" s="2">
        <f t="shared" si="0"/>
        <v>18371.25</v>
      </c>
      <c r="H9" s="1" t="s">
        <v>11</v>
      </c>
    </row>
    <row r="10" spans="2:8" x14ac:dyDescent="0.25">
      <c r="B10" s="2" t="s">
        <v>27</v>
      </c>
      <c r="C10" s="3">
        <v>363</v>
      </c>
      <c r="D10" s="2" t="s">
        <v>7</v>
      </c>
      <c r="E10" s="2">
        <v>18</v>
      </c>
      <c r="F10" s="2">
        <f>C10*E10</f>
        <v>6534</v>
      </c>
      <c r="G10" s="2">
        <f t="shared" si="0"/>
        <v>7514.0999999999995</v>
      </c>
      <c r="H10" s="1" t="s">
        <v>12</v>
      </c>
    </row>
    <row r="11" spans="2:8" x14ac:dyDescent="0.25">
      <c r="B11" s="2" t="s">
        <v>28</v>
      </c>
      <c r="C11" s="3">
        <v>123</v>
      </c>
      <c r="D11" s="2" t="s">
        <v>7</v>
      </c>
      <c r="E11" s="2">
        <v>18</v>
      </c>
      <c r="F11" s="2">
        <f>C11*E11</f>
        <v>2214</v>
      </c>
      <c r="G11" s="2">
        <f t="shared" si="0"/>
        <v>2546.1</v>
      </c>
      <c r="H11" s="1" t="s">
        <v>12</v>
      </c>
    </row>
    <row r="12" spans="2:8" x14ac:dyDescent="0.25">
      <c r="B12" s="2" t="s">
        <v>29</v>
      </c>
      <c r="C12" s="3">
        <v>48</v>
      </c>
      <c r="D12" s="2" t="s">
        <v>7</v>
      </c>
      <c r="E12" s="2">
        <v>15</v>
      </c>
      <c r="F12" s="2">
        <f>C12*E12</f>
        <v>720</v>
      </c>
      <c r="G12" s="2">
        <f t="shared" si="0"/>
        <v>827.99999999999989</v>
      </c>
      <c r="H12" s="1" t="s">
        <v>12</v>
      </c>
    </row>
    <row r="13" spans="2:8" x14ac:dyDescent="0.25">
      <c r="B13" s="2" t="s">
        <v>30</v>
      </c>
      <c r="C13" s="3">
        <v>580</v>
      </c>
      <c r="D13" s="2" t="s">
        <v>7</v>
      </c>
      <c r="E13" s="2">
        <v>15</v>
      </c>
      <c r="F13" s="2">
        <f>C13*E13</f>
        <v>8700</v>
      </c>
      <c r="G13" s="2">
        <f t="shared" si="0"/>
        <v>10005</v>
      </c>
      <c r="H13" s="1" t="s">
        <v>12</v>
      </c>
    </row>
    <row r="14" spans="2:8" x14ac:dyDescent="0.25">
      <c r="B14" s="2" t="s">
        <v>31</v>
      </c>
      <c r="C14" s="3"/>
      <c r="D14" s="2"/>
      <c r="E14" s="2"/>
      <c r="F14" s="2"/>
      <c r="G14" s="2">
        <v>4000</v>
      </c>
      <c r="H14" s="1" t="s">
        <v>11</v>
      </c>
    </row>
    <row r="15" spans="2:8" x14ac:dyDescent="0.25">
      <c r="B15" s="2" t="s">
        <v>31</v>
      </c>
      <c r="C15" s="3"/>
      <c r="D15" s="2"/>
      <c r="E15" s="2"/>
      <c r="F15" s="2">
        <v>29319</v>
      </c>
      <c r="G15" s="2">
        <v>29319</v>
      </c>
      <c r="H15" s="1" t="s">
        <v>13</v>
      </c>
    </row>
    <row r="16" spans="2:8" x14ac:dyDescent="0.25">
      <c r="B16" s="7" t="s">
        <v>31</v>
      </c>
      <c r="C16" s="8"/>
      <c r="D16" s="7"/>
      <c r="E16" s="7"/>
      <c r="F16" s="7">
        <v>69000</v>
      </c>
      <c r="G16" s="7">
        <v>69000</v>
      </c>
      <c r="H16" s="9" t="s">
        <v>34</v>
      </c>
    </row>
    <row r="17" spans="2:8" x14ac:dyDescent="0.25">
      <c r="B17" s="2" t="s">
        <v>32</v>
      </c>
      <c r="C17" s="3"/>
      <c r="D17" s="2"/>
      <c r="E17" s="2"/>
      <c r="F17" s="2">
        <v>45123</v>
      </c>
      <c r="G17" s="2">
        <v>45123</v>
      </c>
      <c r="H17" s="1" t="s">
        <v>33</v>
      </c>
    </row>
    <row r="18" spans="2:8" x14ac:dyDescent="0.25">
      <c r="B18" s="7" t="s">
        <v>32</v>
      </c>
      <c r="C18" s="8"/>
      <c r="D18" s="7"/>
      <c r="E18" s="7"/>
      <c r="F18" s="7">
        <v>52500</v>
      </c>
      <c r="G18" s="7">
        <v>52500</v>
      </c>
      <c r="H18" s="9" t="s">
        <v>34</v>
      </c>
    </row>
    <row r="19" spans="2:8" x14ac:dyDescent="0.25">
      <c r="B19" s="2" t="s">
        <v>35</v>
      </c>
      <c r="C19" s="3">
        <v>300</v>
      </c>
      <c r="D19" s="2" t="s">
        <v>7</v>
      </c>
      <c r="E19" s="2">
        <v>67.307599999999994</v>
      </c>
      <c r="F19" s="2">
        <f t="shared" ref="F19:F20" si="3">C19*E19</f>
        <v>20192.28</v>
      </c>
      <c r="G19" s="2">
        <f t="shared" si="0"/>
        <v>23221.121999999996</v>
      </c>
      <c r="H19" s="1" t="s">
        <v>11</v>
      </c>
    </row>
    <row r="20" spans="2:8" x14ac:dyDescent="0.25">
      <c r="B20" s="2" t="s">
        <v>36</v>
      </c>
      <c r="C20" s="3">
        <v>250</v>
      </c>
      <c r="D20" s="2" t="s">
        <v>7</v>
      </c>
      <c r="E20" s="2">
        <v>63.461500000000001</v>
      </c>
      <c r="F20" s="2">
        <f t="shared" si="3"/>
        <v>15865.375</v>
      </c>
      <c r="G20" s="2">
        <f t="shared" si="0"/>
        <v>18245.181249999998</v>
      </c>
      <c r="H20" s="1" t="s">
        <v>11</v>
      </c>
    </row>
    <row r="21" spans="2:8" x14ac:dyDescent="0.25">
      <c r="B21" s="2" t="s">
        <v>37</v>
      </c>
      <c r="C21" s="3">
        <v>260</v>
      </c>
      <c r="D21" s="2" t="s">
        <v>7</v>
      </c>
      <c r="E21" s="2">
        <v>63.461500000000001</v>
      </c>
      <c r="F21" s="2">
        <f t="shared" ref="F21:F22" si="4">C21*E21</f>
        <v>16499.990000000002</v>
      </c>
      <c r="G21" s="2">
        <f t="shared" si="0"/>
        <v>18974.988499999999</v>
      </c>
      <c r="H21" s="1" t="s">
        <v>12</v>
      </c>
    </row>
    <row r="22" spans="2:8" x14ac:dyDescent="0.25">
      <c r="B22" s="2" t="s">
        <v>38</v>
      </c>
      <c r="C22" s="3">
        <v>260</v>
      </c>
      <c r="D22" s="2" t="s">
        <v>7</v>
      </c>
      <c r="E22" s="2">
        <v>67.307599999999994</v>
      </c>
      <c r="F22" s="2">
        <f t="shared" si="4"/>
        <v>17499.975999999999</v>
      </c>
      <c r="G22" s="2">
        <f t="shared" si="0"/>
        <v>20124.972399999999</v>
      </c>
      <c r="H22" s="1" t="s">
        <v>12</v>
      </c>
    </row>
    <row r="23" spans="2:8" x14ac:dyDescent="0.25">
      <c r="B23" s="50" t="s">
        <v>40</v>
      </c>
      <c r="C23" s="51"/>
      <c r="D23" s="51"/>
      <c r="E23" s="52"/>
      <c r="F23" s="2">
        <v>18000</v>
      </c>
      <c r="G23" s="2">
        <v>18000</v>
      </c>
      <c r="H23" s="1" t="s">
        <v>13</v>
      </c>
    </row>
    <row r="24" spans="2:8" x14ac:dyDescent="0.25">
      <c r="B24" s="53"/>
      <c r="C24" s="54"/>
      <c r="D24" s="54"/>
      <c r="E24" s="55"/>
      <c r="F24" s="7">
        <v>18000</v>
      </c>
      <c r="G24" s="7">
        <v>18000</v>
      </c>
      <c r="H24" s="9" t="s">
        <v>34</v>
      </c>
    </row>
    <row r="25" spans="2:8" x14ac:dyDescent="0.25">
      <c r="B25" s="47" t="s">
        <v>41</v>
      </c>
      <c r="C25" s="48"/>
      <c r="D25" s="48"/>
      <c r="E25" s="49"/>
      <c r="F25" s="7">
        <v>24150</v>
      </c>
      <c r="G25" s="7">
        <v>24150</v>
      </c>
      <c r="H25" s="9" t="s">
        <v>34</v>
      </c>
    </row>
    <row r="26" spans="2:8" x14ac:dyDescent="0.25">
      <c r="B26" s="47" t="s">
        <v>18</v>
      </c>
      <c r="C26" s="48"/>
      <c r="D26" s="48"/>
      <c r="E26" s="49"/>
      <c r="F26" s="2" t="s">
        <v>15</v>
      </c>
      <c r="G26" s="2">
        <v>200</v>
      </c>
      <c r="H26" s="2" t="s">
        <v>15</v>
      </c>
    </row>
    <row r="27" spans="2:8" x14ac:dyDescent="0.25">
      <c r="B27" s="47" t="s">
        <v>18</v>
      </c>
      <c r="C27" s="48"/>
      <c r="D27" s="48"/>
      <c r="E27" s="49"/>
      <c r="F27" s="2" t="s">
        <v>15</v>
      </c>
      <c r="G27" s="2">
        <v>500</v>
      </c>
      <c r="H27" s="2" t="s">
        <v>15</v>
      </c>
    </row>
    <row r="28" spans="2:8" x14ac:dyDescent="0.25">
      <c r="B28" s="47" t="s">
        <v>18</v>
      </c>
      <c r="C28" s="48"/>
      <c r="D28" s="48"/>
      <c r="E28" s="49"/>
      <c r="F28" s="2" t="s">
        <v>15</v>
      </c>
      <c r="G28" s="2">
        <v>40</v>
      </c>
      <c r="H28" s="2" t="s">
        <v>15</v>
      </c>
    </row>
    <row r="29" spans="2:8" x14ac:dyDescent="0.25">
      <c r="B29" s="47" t="s">
        <v>18</v>
      </c>
      <c r="C29" s="48"/>
      <c r="D29" s="48"/>
      <c r="E29" s="49"/>
      <c r="F29" s="2" t="s">
        <v>15</v>
      </c>
      <c r="G29" s="2">
        <v>30</v>
      </c>
      <c r="H29" s="2" t="s">
        <v>15</v>
      </c>
    </row>
    <row r="30" spans="2:8" x14ac:dyDescent="0.25">
      <c r="B30" s="47" t="s">
        <v>18</v>
      </c>
      <c r="C30" s="48"/>
      <c r="D30" s="48"/>
      <c r="E30" s="49"/>
      <c r="F30" s="2" t="s">
        <v>15</v>
      </c>
      <c r="G30" s="2">
        <v>500</v>
      </c>
      <c r="H30" s="2" t="s">
        <v>15</v>
      </c>
    </row>
    <row r="31" spans="2:8" x14ac:dyDescent="0.25">
      <c r="B31" s="47" t="s">
        <v>19</v>
      </c>
      <c r="C31" s="48"/>
      <c r="D31" s="48"/>
      <c r="E31" s="49"/>
      <c r="F31" s="2" t="s">
        <v>15</v>
      </c>
      <c r="G31" s="2">
        <v>414</v>
      </c>
      <c r="H31" s="2" t="s">
        <v>15</v>
      </c>
    </row>
    <row r="32" spans="2:8" x14ac:dyDescent="0.25">
      <c r="B32" s="47" t="s">
        <v>20</v>
      </c>
      <c r="C32" s="48"/>
      <c r="D32" s="48"/>
      <c r="E32" s="49"/>
      <c r="F32" s="2" t="s">
        <v>15</v>
      </c>
      <c r="G32" s="2">
        <v>150</v>
      </c>
      <c r="H32" s="2" t="s">
        <v>15</v>
      </c>
    </row>
    <row r="33" spans="2:9" x14ac:dyDescent="0.25">
      <c r="B33" s="47" t="s">
        <v>14</v>
      </c>
      <c r="C33" s="48"/>
      <c r="D33" s="48"/>
      <c r="E33" s="49"/>
      <c r="F33" s="2" t="s">
        <v>15</v>
      </c>
      <c r="G33" s="2">
        <v>3852</v>
      </c>
      <c r="H33" s="2" t="s">
        <v>15</v>
      </c>
    </row>
    <row r="34" spans="2:9" x14ac:dyDescent="0.25">
      <c r="B34" s="47" t="s">
        <v>16</v>
      </c>
      <c r="C34" s="48"/>
      <c r="D34" s="48"/>
      <c r="E34" s="49"/>
      <c r="F34" s="2" t="s">
        <v>15</v>
      </c>
      <c r="G34" s="2">
        <v>5500</v>
      </c>
      <c r="H34" s="2" t="s">
        <v>15</v>
      </c>
    </row>
    <row r="35" spans="2:9" x14ac:dyDescent="0.25">
      <c r="B35" s="47" t="s">
        <v>17</v>
      </c>
      <c r="C35" s="48"/>
      <c r="D35" s="48"/>
      <c r="E35" s="49"/>
      <c r="F35" s="2" t="s">
        <v>15</v>
      </c>
      <c r="G35" s="2">
        <v>3177.45</v>
      </c>
      <c r="H35" s="2" t="s">
        <v>15</v>
      </c>
    </row>
    <row r="36" spans="2:9" x14ac:dyDescent="0.25">
      <c r="B36" s="47" t="s">
        <v>17</v>
      </c>
      <c r="C36" s="48"/>
      <c r="D36" s="48"/>
      <c r="E36" s="49"/>
      <c r="F36" s="2" t="s">
        <v>15</v>
      </c>
      <c r="G36" s="2">
        <v>2052</v>
      </c>
      <c r="H36" s="2" t="s">
        <v>15</v>
      </c>
    </row>
    <row r="37" spans="2:9" x14ac:dyDescent="0.25">
      <c r="B37" s="47" t="s">
        <v>17</v>
      </c>
      <c r="C37" s="48"/>
      <c r="D37" s="48"/>
      <c r="E37" s="49"/>
      <c r="F37" s="2" t="s">
        <v>15</v>
      </c>
      <c r="G37" s="2">
        <v>11414</v>
      </c>
      <c r="H37" s="2" t="s">
        <v>15</v>
      </c>
    </row>
    <row r="38" spans="2:9" x14ac:dyDescent="0.25">
      <c r="B38" s="47" t="s">
        <v>17</v>
      </c>
      <c r="C38" s="48"/>
      <c r="D38" s="48"/>
      <c r="E38" s="49"/>
      <c r="F38" s="2" t="s">
        <v>15</v>
      </c>
      <c r="G38" s="2">
        <v>1946</v>
      </c>
      <c r="H38" s="2" t="s">
        <v>15</v>
      </c>
    </row>
    <row r="39" spans="2:9" x14ac:dyDescent="0.25">
      <c r="B39" s="47" t="s">
        <v>17</v>
      </c>
      <c r="C39" s="48"/>
      <c r="D39" s="48"/>
      <c r="E39" s="49"/>
      <c r="F39" s="2" t="s">
        <v>15</v>
      </c>
      <c r="G39" s="2">
        <v>1918</v>
      </c>
      <c r="H39" s="2" t="s">
        <v>15</v>
      </c>
    </row>
    <row r="40" spans="2:9" x14ac:dyDescent="0.25">
      <c r="B40" s="47" t="s">
        <v>17</v>
      </c>
      <c r="C40" s="48"/>
      <c r="D40" s="48"/>
      <c r="E40" s="49"/>
      <c r="F40" s="2" t="s">
        <v>15</v>
      </c>
      <c r="G40" s="2">
        <v>8615</v>
      </c>
      <c r="H40" s="2" t="s">
        <v>15</v>
      </c>
    </row>
    <row r="41" spans="2:9" x14ac:dyDescent="0.25">
      <c r="B41" s="59" t="s">
        <v>42</v>
      </c>
      <c r="C41" s="59"/>
      <c r="D41" s="59"/>
      <c r="E41" s="59"/>
      <c r="F41" s="2" t="s">
        <v>15</v>
      </c>
      <c r="G41" s="2">
        <v>401000</v>
      </c>
      <c r="H41" s="2" t="s">
        <v>15</v>
      </c>
      <c r="I41">
        <v>87000</v>
      </c>
    </row>
    <row r="42" spans="2:9" x14ac:dyDescent="0.25">
      <c r="B42" s="47" t="s">
        <v>43</v>
      </c>
      <c r="C42" s="48"/>
      <c r="D42" s="48"/>
      <c r="E42" s="49"/>
      <c r="F42" s="2"/>
      <c r="G42" s="2">
        <v>15000</v>
      </c>
      <c r="H42" s="2"/>
    </row>
    <row r="43" spans="2:9" x14ac:dyDescent="0.25">
      <c r="B43" s="47" t="s">
        <v>16</v>
      </c>
      <c r="C43" s="48"/>
      <c r="D43" s="48"/>
      <c r="E43" s="49"/>
      <c r="F43" s="2" t="s">
        <v>15</v>
      </c>
      <c r="G43" s="2">
        <v>9000</v>
      </c>
      <c r="H43" s="2" t="s">
        <v>15</v>
      </c>
    </row>
    <row r="44" spans="2:9" x14ac:dyDescent="0.25">
      <c r="B44" s="47" t="s">
        <v>21</v>
      </c>
      <c r="C44" s="48"/>
      <c r="D44" s="48"/>
      <c r="E44" s="49"/>
      <c r="F44" s="2" t="s">
        <v>15</v>
      </c>
      <c r="G44" s="2">
        <v>5000</v>
      </c>
      <c r="H44" s="2" t="s">
        <v>15</v>
      </c>
    </row>
    <row r="45" spans="2:9" x14ac:dyDescent="0.25">
      <c r="B45" s="56" t="s">
        <v>23</v>
      </c>
      <c r="C45" s="57"/>
      <c r="D45" s="57"/>
      <c r="E45" s="58"/>
      <c r="F45" s="2"/>
      <c r="G45" s="2">
        <v>100000</v>
      </c>
      <c r="H45" s="2" t="s">
        <v>39</v>
      </c>
      <c r="I45">
        <v>10000</v>
      </c>
    </row>
    <row r="46" spans="2:9" x14ac:dyDescent="0.25">
      <c r="B46" s="47" t="s">
        <v>22</v>
      </c>
      <c r="C46" s="48"/>
      <c r="D46" s="48"/>
      <c r="E46" s="49"/>
      <c r="F46" s="2"/>
      <c r="G46" s="2">
        <v>48300</v>
      </c>
      <c r="H46" s="2" t="s">
        <v>39</v>
      </c>
      <c r="I46">
        <v>13800</v>
      </c>
    </row>
    <row r="47" spans="2:9" x14ac:dyDescent="0.25">
      <c r="B47" s="47" t="s">
        <v>16</v>
      </c>
      <c r="C47" s="48"/>
      <c r="D47" s="48"/>
      <c r="E47" s="49"/>
      <c r="F47" s="2" t="s">
        <v>15</v>
      </c>
      <c r="G47" s="2">
        <v>22000</v>
      </c>
      <c r="H47" s="2" t="s">
        <v>15</v>
      </c>
    </row>
    <row r="48" spans="2:9" ht="15.75" x14ac:dyDescent="0.25">
      <c r="G48" s="5">
        <f>SUM(G4:G47)</f>
        <v>1068841.5141499999</v>
      </c>
    </row>
    <row r="58" spans="2:4" x14ac:dyDescent="0.25">
      <c r="B58" t="s">
        <v>44</v>
      </c>
      <c r="C58" t="s">
        <v>45</v>
      </c>
      <c r="D58" t="s">
        <v>46</v>
      </c>
    </row>
  </sheetData>
  <mergeCells count="24">
    <mergeCell ref="B23:E24"/>
    <mergeCell ref="B25:E25"/>
    <mergeCell ref="B42:E42"/>
    <mergeCell ref="B44:E44"/>
    <mergeCell ref="B47:E47"/>
    <mergeCell ref="B46:E46"/>
    <mergeCell ref="B45:E45"/>
    <mergeCell ref="B31:E31"/>
    <mergeCell ref="B32:E32"/>
    <mergeCell ref="B41:E41"/>
    <mergeCell ref="B43:E43"/>
    <mergeCell ref="B39:E39"/>
    <mergeCell ref="B38:E38"/>
    <mergeCell ref="B40:E40"/>
    <mergeCell ref="B26:E26"/>
    <mergeCell ref="B27:E27"/>
    <mergeCell ref="B36:E36"/>
    <mergeCell ref="B37:E37"/>
    <mergeCell ref="B33:E33"/>
    <mergeCell ref="B28:E28"/>
    <mergeCell ref="B29:E29"/>
    <mergeCell ref="B30:E30"/>
    <mergeCell ref="B34:E34"/>
    <mergeCell ref="B35:E3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284C-326A-4973-A829-BCFD8ECD7667}">
  <dimension ref="B2:K44"/>
  <sheetViews>
    <sheetView tabSelected="1" topLeftCell="A3" zoomScale="86" zoomScaleNormal="86" workbookViewId="0">
      <selection activeCell="C9" sqref="C9"/>
    </sheetView>
  </sheetViews>
  <sheetFormatPr defaultRowHeight="15" x14ac:dyDescent="0.25"/>
  <cols>
    <col min="2" max="2" width="21.7109375" customWidth="1"/>
    <col min="3" max="3" width="13.7109375" customWidth="1"/>
    <col min="5" max="5" width="89.5703125" customWidth="1"/>
    <col min="6" max="6" width="14.140625" customWidth="1"/>
    <col min="7" max="7" width="17.28515625" customWidth="1"/>
    <col min="8" max="8" width="18" customWidth="1"/>
    <col min="9" max="9" width="19.28515625" customWidth="1"/>
    <col min="10" max="10" width="15.140625" customWidth="1"/>
    <col min="12" max="12" width="12.140625" customWidth="1"/>
  </cols>
  <sheetData>
    <row r="2" spans="2:11" ht="30" x14ac:dyDescent="0.25">
      <c r="E2" s="24" t="s">
        <v>69</v>
      </c>
      <c r="F2" s="16" t="s">
        <v>70</v>
      </c>
      <c r="G2" s="14" t="s">
        <v>57</v>
      </c>
      <c r="H2" s="17" t="s">
        <v>58</v>
      </c>
      <c r="I2" s="18" t="s">
        <v>59</v>
      </c>
      <c r="J2" s="19" t="s">
        <v>60</v>
      </c>
      <c r="K2" s="20" t="s">
        <v>61</v>
      </c>
    </row>
    <row r="5" spans="2:11" x14ac:dyDescent="0.25">
      <c r="E5" s="4" t="s">
        <v>0</v>
      </c>
      <c r="F5" s="11" t="s">
        <v>10</v>
      </c>
      <c r="G5" s="4" t="s">
        <v>78</v>
      </c>
      <c r="H5" s="4" t="s">
        <v>48</v>
      </c>
      <c r="I5" s="4" t="s">
        <v>46</v>
      </c>
    </row>
    <row r="6" spans="2:11" x14ac:dyDescent="0.25">
      <c r="E6" s="22" t="s">
        <v>53</v>
      </c>
      <c r="F6" s="6" t="s">
        <v>12</v>
      </c>
      <c r="G6" s="2">
        <v>9953.25</v>
      </c>
      <c r="H6" s="43">
        <v>0</v>
      </c>
      <c r="I6" s="1"/>
    </row>
    <row r="7" spans="2:11" ht="15.75" x14ac:dyDescent="0.25">
      <c r="B7" s="35" t="s">
        <v>77</v>
      </c>
      <c r="C7" s="4" t="s">
        <v>76</v>
      </c>
      <c r="E7" s="22" t="s">
        <v>53</v>
      </c>
      <c r="F7" s="6" t="s">
        <v>11</v>
      </c>
      <c r="G7" s="2">
        <v>10350</v>
      </c>
      <c r="H7" s="44"/>
      <c r="I7" s="1"/>
    </row>
    <row r="8" spans="2:11" ht="15.75" x14ac:dyDescent="0.25">
      <c r="B8" s="36" t="s">
        <v>79</v>
      </c>
      <c r="C8" s="26">
        <v>482052.5</v>
      </c>
      <c r="E8" s="22" t="s">
        <v>53</v>
      </c>
      <c r="F8" s="6" t="s">
        <v>13</v>
      </c>
      <c r="G8" s="2">
        <v>10350</v>
      </c>
      <c r="H8" s="45"/>
      <c r="I8" s="1"/>
    </row>
    <row r="9" spans="2:11" ht="15.75" x14ac:dyDescent="0.25">
      <c r="B9" s="33" t="s">
        <v>75</v>
      </c>
      <c r="C9" s="3">
        <v>159031</v>
      </c>
      <c r="E9" s="12" t="s">
        <v>74</v>
      </c>
      <c r="F9" s="6" t="s">
        <v>13</v>
      </c>
      <c r="G9" s="26">
        <v>32593.75</v>
      </c>
      <c r="I9" s="1"/>
    </row>
    <row r="10" spans="2:11" ht="18.75" x14ac:dyDescent="0.3">
      <c r="C10" s="37">
        <f>SUM(C8:C9)</f>
        <v>641083.5</v>
      </c>
      <c r="E10" s="12" t="s">
        <v>74</v>
      </c>
      <c r="F10" s="6" t="s">
        <v>34</v>
      </c>
      <c r="G10" s="26">
        <v>48802.75</v>
      </c>
      <c r="I10" s="1"/>
    </row>
    <row r="11" spans="2:11" x14ac:dyDescent="0.25">
      <c r="E11" s="12" t="s">
        <v>74</v>
      </c>
      <c r="F11" s="6" t="s">
        <v>72</v>
      </c>
      <c r="G11" s="26">
        <v>71225</v>
      </c>
      <c r="H11" s="30"/>
      <c r="I11" s="1"/>
    </row>
    <row r="12" spans="2:11" x14ac:dyDescent="0.25">
      <c r="E12" s="12" t="s">
        <v>32</v>
      </c>
      <c r="F12" s="2" t="s">
        <v>13</v>
      </c>
      <c r="G12" s="3">
        <v>71220</v>
      </c>
      <c r="H12" s="29"/>
      <c r="I12" s="1"/>
    </row>
    <row r="13" spans="2:11" x14ac:dyDescent="0.25">
      <c r="E13" s="12" t="s">
        <v>32</v>
      </c>
      <c r="F13" s="2" t="s">
        <v>34</v>
      </c>
      <c r="G13" s="3">
        <v>87220</v>
      </c>
      <c r="H13" s="1"/>
      <c r="I13" s="1"/>
    </row>
    <row r="14" spans="2:11" x14ac:dyDescent="0.25">
      <c r="E14" s="12" t="s">
        <v>32</v>
      </c>
      <c r="F14" s="2" t="s">
        <v>72</v>
      </c>
      <c r="G14" s="3">
        <v>58220</v>
      </c>
      <c r="H14" s="1"/>
      <c r="I14" s="1"/>
    </row>
    <row r="15" spans="2:11" x14ac:dyDescent="0.25">
      <c r="E15" s="21" t="s">
        <v>68</v>
      </c>
      <c r="F15" s="2" t="s">
        <v>11</v>
      </c>
      <c r="G15" s="2">
        <v>18576.897599999997</v>
      </c>
      <c r="H15" s="40"/>
      <c r="I15" s="1"/>
    </row>
    <row r="16" spans="2:11" x14ac:dyDescent="0.25">
      <c r="E16" s="21" t="s">
        <v>55</v>
      </c>
      <c r="F16" s="2" t="s">
        <v>11</v>
      </c>
      <c r="G16" s="2">
        <v>19704.795749999997</v>
      </c>
      <c r="H16" s="41"/>
      <c r="I16" s="1"/>
    </row>
    <row r="17" spans="5:9" x14ac:dyDescent="0.25">
      <c r="E17" s="21" t="s">
        <v>54</v>
      </c>
      <c r="F17" s="2" t="s">
        <v>12</v>
      </c>
      <c r="G17" s="2">
        <v>11610.560999999998</v>
      </c>
      <c r="H17" s="41"/>
      <c r="I17" s="1"/>
    </row>
    <row r="18" spans="5:9" x14ac:dyDescent="0.25">
      <c r="E18" s="21" t="s">
        <v>68</v>
      </c>
      <c r="F18" s="2" t="s">
        <v>12</v>
      </c>
      <c r="G18" s="2">
        <v>11610.560999999998</v>
      </c>
      <c r="H18" s="41"/>
      <c r="I18" s="1"/>
    </row>
    <row r="19" spans="5:9" x14ac:dyDescent="0.25">
      <c r="E19" s="21" t="s">
        <v>68</v>
      </c>
      <c r="F19" s="2" t="s">
        <v>13</v>
      </c>
      <c r="G19" s="31">
        <v>3096.15</v>
      </c>
      <c r="H19" s="41"/>
      <c r="I19" s="1"/>
    </row>
    <row r="20" spans="5:9" x14ac:dyDescent="0.25">
      <c r="E20" s="21" t="s">
        <v>54</v>
      </c>
      <c r="F20" s="2" t="s">
        <v>13</v>
      </c>
      <c r="G20" s="31">
        <v>18974.990000000002</v>
      </c>
      <c r="H20" s="42"/>
      <c r="I20" s="1"/>
    </row>
    <row r="21" spans="5:9" x14ac:dyDescent="0.25">
      <c r="E21" s="21" t="s">
        <v>54</v>
      </c>
      <c r="F21" s="2" t="s">
        <v>34</v>
      </c>
      <c r="G21" s="31">
        <v>12698.65</v>
      </c>
      <c r="H21" s="27"/>
      <c r="I21" s="1"/>
    </row>
    <row r="22" spans="5:9" x14ac:dyDescent="0.25">
      <c r="E22" s="21" t="s">
        <v>54</v>
      </c>
      <c r="F22" s="2" t="s">
        <v>72</v>
      </c>
      <c r="G22" s="31">
        <v>1459.61</v>
      </c>
      <c r="H22" s="27"/>
      <c r="I22" s="1"/>
    </row>
    <row r="23" spans="5:9" x14ac:dyDescent="0.25">
      <c r="E23" s="22" t="s">
        <v>63</v>
      </c>
      <c r="F23" s="10" t="s">
        <v>47</v>
      </c>
      <c r="G23" s="3">
        <v>30000</v>
      </c>
      <c r="H23" s="3">
        <v>30000</v>
      </c>
      <c r="I23" s="1"/>
    </row>
    <row r="24" spans="5:9" x14ac:dyDescent="0.25">
      <c r="E24" s="22" t="s">
        <v>64</v>
      </c>
      <c r="F24" s="10" t="s">
        <v>47</v>
      </c>
      <c r="G24" s="3">
        <v>14000</v>
      </c>
      <c r="H24" s="3">
        <v>14000</v>
      </c>
      <c r="I24" s="1"/>
    </row>
    <row r="25" spans="5:9" x14ac:dyDescent="0.25">
      <c r="E25" s="22" t="s">
        <v>65</v>
      </c>
      <c r="F25" s="10" t="s">
        <v>47</v>
      </c>
      <c r="G25" s="3">
        <v>27000</v>
      </c>
      <c r="H25" s="3">
        <v>27000</v>
      </c>
      <c r="I25" s="1"/>
    </row>
    <row r="26" spans="5:9" x14ac:dyDescent="0.25">
      <c r="E26" s="13" t="s">
        <v>22</v>
      </c>
      <c r="F26" s="2" t="s">
        <v>13</v>
      </c>
      <c r="G26" s="2">
        <v>2300</v>
      </c>
      <c r="H26" s="2">
        <v>0</v>
      </c>
      <c r="I26" s="1"/>
    </row>
    <row r="27" spans="5:9" x14ac:dyDescent="0.25">
      <c r="E27" s="13" t="s">
        <v>22</v>
      </c>
      <c r="F27" s="2" t="s">
        <v>34</v>
      </c>
      <c r="G27" s="25">
        <v>11500</v>
      </c>
      <c r="H27" s="2"/>
      <c r="I27" s="1"/>
    </row>
    <row r="28" spans="5:9" x14ac:dyDescent="0.25">
      <c r="E28" s="13" t="s">
        <v>22</v>
      </c>
      <c r="F28" s="2" t="s">
        <v>72</v>
      </c>
      <c r="G28" s="25">
        <v>11500</v>
      </c>
      <c r="H28" s="2"/>
      <c r="I28" s="1"/>
    </row>
    <row r="29" spans="5:9" x14ac:dyDescent="0.25">
      <c r="E29" s="13" t="s">
        <v>67</v>
      </c>
      <c r="F29" s="2" t="s">
        <v>12</v>
      </c>
      <c r="G29" s="25">
        <v>2530</v>
      </c>
      <c r="H29" s="2">
        <v>2530</v>
      </c>
      <c r="I29" s="1"/>
    </row>
    <row r="30" spans="5:9" x14ac:dyDescent="0.25">
      <c r="E30" s="13" t="s">
        <v>67</v>
      </c>
      <c r="F30" s="2" t="s">
        <v>11</v>
      </c>
      <c r="G30" s="25">
        <v>2600</v>
      </c>
      <c r="H30" s="2">
        <v>2600</v>
      </c>
      <c r="I30" s="1"/>
    </row>
    <row r="31" spans="5:9" x14ac:dyDescent="0.25">
      <c r="E31" s="13" t="s">
        <v>67</v>
      </c>
      <c r="F31" s="2" t="s">
        <v>13</v>
      </c>
      <c r="G31" s="25">
        <v>2530</v>
      </c>
      <c r="H31" s="3">
        <v>2530</v>
      </c>
      <c r="I31" s="1"/>
    </row>
    <row r="32" spans="5:9" x14ac:dyDescent="0.25">
      <c r="E32" s="13" t="s">
        <v>67</v>
      </c>
      <c r="F32" s="2" t="s">
        <v>34</v>
      </c>
      <c r="G32" s="25">
        <v>2600</v>
      </c>
      <c r="H32" s="3">
        <v>2600</v>
      </c>
      <c r="I32" s="1"/>
    </row>
    <row r="33" spans="5:9" x14ac:dyDescent="0.25">
      <c r="E33" s="13" t="s">
        <v>67</v>
      </c>
      <c r="F33" s="2" t="s">
        <v>72</v>
      </c>
      <c r="G33" s="25">
        <v>2600</v>
      </c>
      <c r="H33" s="3">
        <v>2600</v>
      </c>
      <c r="I33" s="1"/>
    </row>
    <row r="34" spans="5:9" x14ac:dyDescent="0.25">
      <c r="E34" s="13" t="s">
        <v>66</v>
      </c>
      <c r="F34" s="2" t="s">
        <v>13</v>
      </c>
      <c r="G34" s="3">
        <v>6325</v>
      </c>
      <c r="H34" s="3">
        <v>6325</v>
      </c>
      <c r="I34" s="1"/>
    </row>
    <row r="35" spans="5:9" x14ac:dyDescent="0.25">
      <c r="E35" s="13" t="s">
        <v>73</v>
      </c>
      <c r="F35" s="2" t="s">
        <v>34</v>
      </c>
      <c r="G35" s="3">
        <v>6325</v>
      </c>
      <c r="H35" s="3">
        <v>6325</v>
      </c>
      <c r="I35" s="1"/>
    </row>
    <row r="36" spans="5:9" x14ac:dyDescent="0.25">
      <c r="E36" s="13" t="s">
        <v>73</v>
      </c>
      <c r="F36" s="2" t="s">
        <v>72</v>
      </c>
      <c r="G36" s="3">
        <v>6325</v>
      </c>
      <c r="H36" s="3">
        <v>6325</v>
      </c>
      <c r="I36" s="1"/>
    </row>
    <row r="37" spans="5:9" x14ac:dyDescent="0.25">
      <c r="E37" s="22" t="s">
        <v>43</v>
      </c>
      <c r="F37" s="2" t="s">
        <v>47</v>
      </c>
      <c r="G37" s="3">
        <v>5000</v>
      </c>
      <c r="H37" s="2"/>
      <c r="I37" s="1"/>
    </row>
    <row r="38" spans="5:9" x14ac:dyDescent="0.25">
      <c r="E38" s="7" t="s">
        <v>49</v>
      </c>
      <c r="F38" s="2" t="s">
        <v>47</v>
      </c>
      <c r="G38" s="3">
        <v>17500</v>
      </c>
      <c r="H38" s="3">
        <v>17500</v>
      </c>
      <c r="I38" s="1"/>
    </row>
    <row r="39" spans="5:9" x14ac:dyDescent="0.25">
      <c r="E39" s="14" t="s">
        <v>71</v>
      </c>
      <c r="F39" s="2" t="s">
        <v>47</v>
      </c>
      <c r="G39" s="28">
        <v>12117</v>
      </c>
      <c r="H39" s="3">
        <v>12117</v>
      </c>
      <c r="I39" s="1"/>
    </row>
    <row r="40" spans="5:9" x14ac:dyDescent="0.25">
      <c r="E40" s="23" t="s">
        <v>50</v>
      </c>
      <c r="F40" s="2" t="s">
        <v>47</v>
      </c>
      <c r="G40" s="3">
        <v>12600</v>
      </c>
      <c r="H40" s="3">
        <v>12600</v>
      </c>
      <c r="I40" s="1"/>
    </row>
    <row r="41" spans="5:9" x14ac:dyDescent="0.25">
      <c r="E41" s="23" t="s">
        <v>51</v>
      </c>
      <c r="F41" s="2" t="s">
        <v>47</v>
      </c>
      <c r="G41" s="38">
        <v>35600</v>
      </c>
      <c r="H41" s="46">
        <v>23000</v>
      </c>
      <c r="I41" s="1"/>
    </row>
    <row r="42" spans="5:9" x14ac:dyDescent="0.25">
      <c r="E42" s="23" t="s">
        <v>52</v>
      </c>
      <c r="F42" s="2" t="s">
        <v>47</v>
      </c>
      <c r="G42" s="39"/>
      <c r="H42" s="42"/>
      <c r="I42" s="1"/>
    </row>
    <row r="43" spans="5:9" x14ac:dyDescent="0.25">
      <c r="E43" s="23" t="s">
        <v>62</v>
      </c>
      <c r="F43" s="2" t="s">
        <v>47</v>
      </c>
      <c r="G43" s="3">
        <v>3000</v>
      </c>
      <c r="H43" s="3">
        <v>3000</v>
      </c>
      <c r="I43" s="1"/>
    </row>
    <row r="44" spans="5:9" ht="18.75" x14ac:dyDescent="0.3">
      <c r="E44" s="15" t="s">
        <v>56</v>
      </c>
      <c r="F44" s="1"/>
      <c r="G44" s="32">
        <f>SUM(G6:G42)</f>
        <v>708618.96534999995</v>
      </c>
      <c r="H44" s="34">
        <f>SUM(H6:H42)</f>
        <v>168052</v>
      </c>
      <c r="I44" s="60">
        <f>G44-H44</f>
        <v>540566.96534999995</v>
      </c>
    </row>
  </sheetData>
  <mergeCells count="4">
    <mergeCell ref="G41:G42"/>
    <mergeCell ref="H15:H20"/>
    <mergeCell ref="H6:H8"/>
    <mergeCell ref="H41:H4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kamel</dc:creator>
  <cp:lastModifiedBy>ibrahim kamel</cp:lastModifiedBy>
  <dcterms:created xsi:type="dcterms:W3CDTF">2026-02-06T14:19:42Z</dcterms:created>
  <dcterms:modified xsi:type="dcterms:W3CDTF">2026-04-10T23:39:17Z</dcterms:modified>
</cp:coreProperties>
</file>